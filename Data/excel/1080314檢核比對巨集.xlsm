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showInkAnnotation="0" codeName="ThisWorkbook"/>
  <bookViews>
    <workbookView xWindow="450" yWindow="1440" windowWidth="8505" windowHeight="3180"/>
  </bookViews>
  <sheets>
    <sheet name="檢核表" sheetId="31" r:id="rId1"/>
    <sheet name="標準表" sheetId="24" r:id="rId2"/>
  </sheets>
  <definedNames>
    <definedName name="_xlnm._FilterDatabase" localSheetId="1">標準表!$A$2:$C$2</definedName>
    <definedName name="_xlnm._FilterDatabase" localSheetId="0" hidden="1">檢核表!$A$2:$F$2</definedName>
    <definedName name="_xlnm.Print_Area" localSheetId="1">標準表!$A$1:$C$47</definedName>
    <definedName name="_xlnm.Print_Area" localSheetId="0">檢核表!$A$1:$E$40</definedName>
  </definedNames>
  <calcPr calcId="145621" iterateDelta="1E-4"/>
</workbook>
</file>

<file path=xl/calcChain.xml><?xml version="1.0" encoding="utf-8"?>
<calcChain xmlns="http://schemas.openxmlformats.org/spreadsheetml/2006/main">
  <c r="B40" i="31" l="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B25" i="31"/>
  <c r="B24" i="31"/>
  <c r="B23" i="31"/>
  <c r="B22" i="31"/>
  <c r="B21" i="31"/>
  <c r="B20" i="31"/>
  <c r="B19" i="31"/>
  <c r="B18" i="31"/>
  <c r="B17" i="31"/>
  <c r="B16" i="31"/>
  <c r="B15" i="31"/>
  <c r="B14" i="31"/>
  <c r="B13" i="31"/>
  <c r="B12" i="31"/>
  <c r="B11" i="31"/>
  <c r="B10" i="31"/>
  <c r="B9" i="31"/>
  <c r="B8" i="31"/>
  <c r="B7" i="31"/>
  <c r="B6" i="31"/>
  <c r="B5" i="31"/>
  <c r="B4" i="31"/>
  <c r="B3" i="31"/>
  <c r="B101" i="24" l="1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B43" i="24"/>
  <c r="B42" i="24"/>
  <c r="B41" i="24"/>
  <c r="B40" i="24"/>
  <c r="B39" i="24"/>
  <c r="B38" i="24"/>
  <c r="B37" i="24"/>
  <c r="B36" i="24"/>
  <c r="B35" i="24"/>
  <c r="B34" i="24"/>
  <c r="B33" i="24"/>
  <c r="B32" i="24"/>
  <c r="B31" i="24"/>
  <c r="B30" i="24"/>
  <c r="B29" i="24"/>
  <c r="B28" i="24"/>
  <c r="B27" i="24"/>
  <c r="B26" i="24"/>
  <c r="B25" i="24"/>
  <c r="B24" i="24"/>
  <c r="B23" i="24"/>
  <c r="B22" i="24"/>
  <c r="B21" i="24"/>
  <c r="B20" i="24"/>
  <c r="B19" i="24"/>
  <c r="B18" i="24"/>
  <c r="B17" i="24"/>
  <c r="B16" i="24"/>
  <c r="B15" i="24"/>
  <c r="B14" i="24"/>
  <c r="B13" i="24"/>
  <c r="B12" i="24"/>
  <c r="B11" i="24"/>
  <c r="B10" i="24"/>
  <c r="B9" i="24"/>
  <c r="B8" i="24"/>
  <c r="B7" i="24"/>
  <c r="B6" i="24"/>
  <c r="B5" i="24"/>
  <c r="B4" i="24"/>
  <c r="B3" i="24"/>
</calcChain>
</file>

<file path=xl/sharedStrings.xml><?xml version="1.0" encoding="utf-8"?>
<sst xmlns="http://schemas.openxmlformats.org/spreadsheetml/2006/main" count="246" uniqueCount="134">
  <si>
    <t xml:space="preserve">陳柏翰                        </t>
  </si>
  <si>
    <t xml:space="preserve">黃偉豪                        </t>
  </si>
  <si>
    <t xml:space="preserve">黃冠智                        </t>
  </si>
  <si>
    <t xml:space="preserve">黃美雪                        </t>
  </si>
  <si>
    <t xml:space="preserve">張簡生地                      </t>
  </si>
  <si>
    <t xml:space="preserve">黃寀溱                        </t>
  </si>
  <si>
    <t>許瓈云</t>
  </si>
  <si>
    <t>謝明翰 108.01.02新增</t>
  </si>
  <si>
    <t>陳柏翰107.06.05置換</t>
  </si>
  <si>
    <t>蘇麗君 108.01.02新增</t>
  </si>
  <si>
    <t xml:space="preserve">蔡雅梅  108.01.02更換                      </t>
  </si>
  <si>
    <t>潘毅澤 108.01.02新增</t>
  </si>
  <si>
    <t>黃潮峯</t>
  </si>
  <si>
    <t xml:space="preserve">胡家豪  1080221更換                       </t>
  </si>
  <si>
    <t>李承翰</t>
  </si>
  <si>
    <t>凃亞嵐</t>
  </si>
  <si>
    <t>陳益樹 108.01.02更換</t>
  </si>
  <si>
    <t>蘇韵寗</t>
  </si>
  <si>
    <t xml:space="preserve">張修齊 1071220新增          </t>
  </si>
  <si>
    <t>胡家豪</t>
  </si>
  <si>
    <t>李俊德</t>
  </si>
  <si>
    <t>鄭評鴻 108.01.02更換</t>
  </si>
  <si>
    <t>黃湞鈺</t>
  </si>
  <si>
    <t>杲宝莉</t>
  </si>
  <si>
    <t>吳惠雯 1071001新增</t>
  </si>
  <si>
    <t>賴怡旨 1071001新增(新增綠門門禁)</t>
  </si>
  <si>
    <t>王存致 1071023新增</t>
  </si>
  <si>
    <t>林志勳 1071023新增</t>
  </si>
  <si>
    <t>何杏華 1071023新增</t>
  </si>
  <si>
    <t>林謙德 1071023新增(新增綠門門禁)</t>
  </si>
  <si>
    <t>秦茂原 1071023新增</t>
  </si>
  <si>
    <t>詹士瑤 1071023新增(新增綠門門禁)</t>
  </si>
  <si>
    <t>李炯霖 1071023新增</t>
  </si>
  <si>
    <t>郭庭歡 1071023新增</t>
  </si>
  <si>
    <t>曾佳弘 1071023新增(新增綠門門禁)</t>
  </si>
  <si>
    <t>李常宏 1071023新增(新增綠門門禁)</t>
  </si>
  <si>
    <t>東宜鴻 1071023新增</t>
  </si>
  <si>
    <t>宋彥陞 1071023新增(新增綠門門禁)</t>
  </si>
  <si>
    <t>江家宏 1071023新增</t>
  </si>
  <si>
    <t>邱怡禎 1071023新增</t>
  </si>
  <si>
    <t>孫維駿 1071023新增(新增綠門門禁)</t>
  </si>
  <si>
    <t>王盈予 1071023新增(新增綠門門禁)</t>
  </si>
  <si>
    <t>陳怡君 1071023新增(新增綠門門禁)</t>
  </si>
  <si>
    <t>鍾佳蓉 1071023新增</t>
  </si>
  <si>
    <t>林庭羽1071023新增(新增綠門門禁)</t>
  </si>
  <si>
    <t>陳煒喆新增1071105</t>
  </si>
  <si>
    <t>彭煜庭新增1071105</t>
  </si>
  <si>
    <t>柯瑞鈴新增1071105</t>
  </si>
  <si>
    <t>林佑融新增1071105</t>
  </si>
  <si>
    <t>高子晴新增1071105</t>
  </si>
  <si>
    <t>汪家豪  新增1071120</t>
  </si>
  <si>
    <t>褚祐貝  新增1071120</t>
  </si>
  <si>
    <t>史玲綺  新增1071120</t>
  </si>
  <si>
    <t>蔡青晏  新增1071120</t>
  </si>
  <si>
    <t>林碧儀 新增1071220</t>
  </si>
  <si>
    <t>許冠文 1080127新增</t>
  </si>
  <si>
    <t>馬琳茵 1080127新增</t>
  </si>
  <si>
    <t>黃泰盛 1080127新增</t>
  </si>
  <si>
    <t>呂佳勳 1080127新增</t>
  </si>
  <si>
    <t>楊哲維 1080127新增</t>
  </si>
  <si>
    <t>方于臻 1080127新增</t>
  </si>
  <si>
    <t>趙維璇 1080127新增</t>
  </si>
  <si>
    <t>高竹誼 1080127新增有車位</t>
  </si>
  <si>
    <t>張建凱 1080127新增</t>
  </si>
  <si>
    <t>黃詩婷1080211新增 1080225離職</t>
  </si>
  <si>
    <t>焦心薇1080211新增1080225離職</t>
  </si>
  <si>
    <t>葉恩婕 1080221新增(資策會)</t>
  </si>
  <si>
    <t>吳偵宜 1080221新增(資策會)</t>
  </si>
  <si>
    <t>盧冠宇 1080225新增(資策會)</t>
  </si>
  <si>
    <t>林政余 1080225新增(資策會)</t>
  </si>
  <si>
    <t>芳于臻 1080225新增(資策會)</t>
  </si>
  <si>
    <t>洪翊庭 1080225新增(資策會)</t>
  </si>
  <si>
    <t xml:space="preserve">忠華1     </t>
  </si>
  <si>
    <t>忠華2</t>
  </si>
  <si>
    <t xml:space="preserve">忠華3  </t>
  </si>
  <si>
    <t xml:space="preserve">忠華4  </t>
  </si>
  <si>
    <t xml:space="preserve">忠華5  </t>
  </si>
  <si>
    <t xml:space="preserve">忠華6  </t>
  </si>
  <si>
    <t xml:space="preserve">忠華7  </t>
  </si>
  <si>
    <t xml:space="preserve">忠華8  </t>
  </si>
  <si>
    <t xml:space="preserve">忠華9  </t>
  </si>
  <si>
    <t xml:space="preserve">忠華10 </t>
  </si>
  <si>
    <t>凃慶昇 1071227更換</t>
  </si>
  <si>
    <t xml:space="preserve">蔡賜珉                         </t>
  </si>
  <si>
    <t>張簡王秀華</t>
  </si>
  <si>
    <t xml:space="preserve">譚潘枝笑            </t>
  </si>
  <si>
    <t>朱杏</t>
  </si>
  <si>
    <t xml:space="preserve">鄭陳淑芳             </t>
  </si>
  <si>
    <t xml:space="preserve">董絲                           </t>
  </si>
  <si>
    <t xml:space="preserve">葉廖素華32900453936               </t>
  </si>
  <si>
    <t xml:space="preserve">陳董泥                    </t>
  </si>
  <si>
    <t xml:space="preserve">施陳慧美                  </t>
  </si>
  <si>
    <t>張簡文山    1080222離職</t>
  </si>
  <si>
    <t xml:space="preserve">廖素綿53100095204  </t>
  </si>
  <si>
    <t xml:space="preserve">鍾桂卿32900453738             </t>
  </si>
  <si>
    <t>台智公司</t>
  </si>
  <si>
    <t xml:space="preserve">黃?鈺    </t>
  </si>
  <si>
    <t>許?云</t>
  </si>
  <si>
    <t xml:space="preserve">杲?莉    </t>
  </si>
  <si>
    <t>資策會</t>
  </si>
  <si>
    <t>資策會(愛吠的狗)</t>
  </si>
  <si>
    <t>資策會(德廣數位)</t>
  </si>
  <si>
    <t>資策會(睿至)</t>
  </si>
  <si>
    <t xml:space="preserve">忠華保全     </t>
  </si>
  <si>
    <t xml:space="preserve">忠華保全    </t>
  </si>
  <si>
    <t xml:space="preserve">忠華保全   </t>
  </si>
  <si>
    <t xml:space="preserve">忠華保全  </t>
  </si>
  <si>
    <t>華園申請至108.12.31</t>
  </si>
  <si>
    <t xml:space="preserve">蔡賜?                      </t>
  </si>
  <si>
    <t>辦公清潔</t>
  </si>
  <si>
    <t>駐廠清潔+OCC+廠辦</t>
  </si>
  <si>
    <t>駐廠清潔</t>
  </si>
  <si>
    <t>捷運工會</t>
  </si>
  <si>
    <t>駐廠清潔+OCC</t>
  </si>
  <si>
    <t>P000</t>
  </si>
  <si>
    <t>T132</t>
  </si>
  <si>
    <t>T141R05</t>
  </si>
  <si>
    <t>T241</t>
  </si>
  <si>
    <t>T142R17/T26W</t>
  </si>
  <si>
    <t>L1D2/T251</t>
  </si>
  <si>
    <t>T2353/T2422</t>
  </si>
  <si>
    <t>T131/T2352</t>
  </si>
  <si>
    <t>T132/T142R15</t>
  </si>
  <si>
    <t>L114/S110</t>
  </si>
  <si>
    <t>施宣輝 1080102新增</t>
    <phoneticPr fontId="1" type="noConversion"/>
  </si>
  <si>
    <t>比對要件原始值
(職編、姓名...)</t>
    <phoneticPr fontId="1" type="noConversion"/>
  </si>
  <si>
    <t>轉換
比對格式</t>
    <phoneticPr fontId="1" type="noConversion"/>
  </si>
  <si>
    <t>比對結果欄2
(或異常欄)</t>
    <phoneticPr fontId="1" type="noConversion"/>
  </si>
  <si>
    <t>比對結果欄1</t>
    <phoneticPr fontId="1" type="noConversion"/>
  </si>
  <si>
    <t>比對要件原始值
(ID、職編、姓名...)</t>
    <phoneticPr fontId="1" type="noConversion"/>
  </si>
  <si>
    <t>檢核值  (可空)
(單位、姓名等)</t>
    <phoneticPr fontId="1" type="noConversion"/>
  </si>
  <si>
    <t>1.綠格為貼入比對要件起點；如有檢核值(欄)則一併貼上。
2.切換至標準表。</t>
    <phoneticPr fontId="1" type="noConversion"/>
  </si>
  <si>
    <t>1.綠格為貼入比對要件起點；如有標準值則一併貼上。
2.按 "Ctrl+a" 執行比對巨集。</t>
    <phoneticPr fontId="1" type="noConversion"/>
  </si>
  <si>
    <t>標準值  (可空)
(單位、姓名等)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</si>
</sst>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76" formatCode="#,##0_);[Red]\(#,##0\)"/>
  </numFmts>
  <fonts count="16" x14ac:knownFonts="1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</font>
    <font>
      <b/>
      <sz val="16"/>
      <name val="新細明體"/>
      <family val="1"/>
      <charset val="136"/>
    </font>
    <font>
      <b/>
      <sz val="16"/>
      <color rgb="FFFF0000"/>
      <name val="新細明體"/>
      <family val="1"/>
      <charset val="136"/>
    </font>
    <font>
      <b/>
      <sz val="18"/>
      <color theme="9" tint="-0.499984740745262"/>
      <name val="微軟正黑體"/>
      <family val="2"/>
      <charset val="136"/>
    </font>
    <font>
      <sz val="18"/>
      <color theme="1"/>
      <name val="新細明體"/>
      <family val="1"/>
      <charset val="136"/>
    </font>
    <font>
      <b/>
      <sz val="18"/>
      <color theme="1"/>
      <name val="新細明體"/>
      <family val="1"/>
      <charset val="136"/>
    </font>
    <font>
      <b/>
      <sz val="16"/>
      <color theme="9" tint="-0.499984740745262"/>
      <name val="新細明體"/>
      <family val="1"/>
      <charset val="136"/>
    </font>
    <font>
      <b/>
      <sz val="12"/>
      <color rgb="FFFF0000"/>
      <name val="新細明體"/>
      <family val="1"/>
      <charset val="136"/>
    </font>
    <font>
      <b/>
      <sz val="18"/>
      <color rgb="FF0000FF"/>
      <name val="新細明體"/>
      <family val="1"/>
      <charset val="136"/>
    </font>
    <font>
      <b/>
      <sz val="16"/>
      <color rgb="FF0000FF"/>
      <name val="新細明體"/>
      <family val="1"/>
      <charset val="136"/>
    </font>
    <font>
      <sz val="18"/>
      <color rgb="FF0000FF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>
      <alignment vertical="center"/>
    </xf>
    <xf numFmtId="0" fontId="2" fillId="0" borderId="0"/>
    <xf numFmtId="0" fontId="3" fillId="0" borderId="0"/>
    <xf numFmtId="0" fontId="4" fillId="0" borderId="0">
      <alignment vertical="center"/>
    </xf>
  </cellStyleXfs>
  <cellXfs count="42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8" fillId="0" borderId="0" xfId="0" applyFont="1" applyBorder="1" applyAlignment="1" applyProtection="1">
      <alignment horizontal="center" vertical="center"/>
    </xf>
    <xf numFmtId="0" fontId="11" fillId="2" borderId="3" xfId="0" applyFont="1" applyFill="1" applyBorder="1" applyAlignment="1" applyProtection="1">
      <alignment horizontal="center" vertical="center" wrapText="1"/>
    </xf>
    <xf numFmtId="0" fontId="8" fillId="3" borderId="1" xfId="0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9" fillId="0" borderId="0" xfId="0" applyFont="1" applyAlignment="1" applyProtection="1">
      <alignment vertical="center"/>
    </xf>
    <xf numFmtId="0" fontId="7" fillId="0" borderId="1" xfId="0" applyFont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12" fillId="0" borderId="0" xfId="0" applyFont="1" applyAlignment="1">
      <alignment horizontal="left" vertical="center"/>
    </xf>
    <xf numFmtId="0" fontId="13" fillId="0" borderId="1" xfId="0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4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11" fillId="3" borderId="3" xfId="0" applyFont="1" applyFill="1" applyBorder="1" applyAlignment="1" applyProtection="1">
      <alignment horizontal="center" vertical="center" wrapText="1"/>
    </xf>
    <xf numFmtId="0" fontId="7" fillId="3" borderId="1" xfId="0" applyFont="1" applyFill="1" applyBorder="1" applyAlignment="1" applyProtection="1">
      <alignment horizontal="center" vertical="center" wrapText="1"/>
      <protection locked="0"/>
    </xf>
    <xf numFmtId="0" fontId="14" fillId="3" borderId="3" xfId="0" applyFont="1" applyFill="1" applyBorder="1" applyAlignment="1" applyProtection="1">
      <alignment horizontal="center" vertical="center" wrapText="1"/>
    </xf>
    <xf numFmtId="0" fontId="13" fillId="3" borderId="2" xfId="0" applyFont="1" applyFill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vertical="center"/>
      <protection locked="0"/>
    </xf>
    <xf numFmtId="0" fontId="14" fillId="0" borderId="1" xfId="0" applyFont="1" applyBorder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center" vertical="center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 applyProtection="1">
      <alignment vertical="center"/>
      <protection locked="0"/>
    </xf>
    <xf numFmtId="0" fontId="11" fillId="0" borderId="0" xfId="0" applyFont="1" applyAlignment="1" applyProtection="1">
      <alignment vertical="center"/>
      <protection locked="0"/>
    </xf>
    <xf numFmtId="0" fontId="13" fillId="2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applyFont="1" applyFill="1" applyBorder="1" applyAlignment="1">
      <alignment vertical="center"/>
    </xf>
    <xf numFmtId="0" fontId="14" fillId="0" borderId="1" xfId="0" applyFont="1" applyFill="1" applyBorder="1" applyAlignment="1">
      <alignment vertical="center"/>
    </xf>
    <xf numFmtId="176" fontId="14" fillId="0" borderId="1" xfId="0" applyNumberFormat="1" applyFont="1" applyFill="1" applyBorder="1" applyAlignment="1">
      <alignment vertical="center"/>
    </xf>
    <xf numFmtId="176" fontId="14" fillId="3" borderId="1" xfId="0" applyNumberFormat="1" applyFont="1" applyFill="1" applyBorder="1" applyAlignment="1">
      <alignment vertical="center"/>
    </xf>
    <xf numFmtId="0" fontId="14" fillId="0" borderId="0" xfId="0" applyFont="1" applyAlignment="1" applyProtection="1">
      <alignment vertical="center"/>
      <protection locked="0"/>
    </xf>
    <xf numFmtId="0" fontId="14" fillId="2" borderId="1" xfId="0" applyFont="1" applyFill="1" applyBorder="1" applyAlignment="1" applyProtection="1">
      <alignment horizontal="center" vertical="center" wrapText="1"/>
    </xf>
    <xf numFmtId="0" fontId="14" fillId="3" borderId="1" xfId="0" applyFont="1" applyFill="1" applyBorder="1" applyAlignment="1" applyProtection="1">
      <alignment horizontal="left" vertical="center"/>
      <protection locked="0"/>
    </xf>
    <xf numFmtId="0" fontId="14" fillId="0" borderId="1" xfId="0" applyFont="1" applyFill="1" applyBorder="1" applyAlignment="1" applyProtection="1">
      <alignment horizontal="left" vertical="center"/>
      <protection locked="0"/>
    </xf>
    <xf numFmtId="176" fontId="14" fillId="0" borderId="1" xfId="0" applyNumberFormat="1" applyFont="1" applyFill="1" applyBorder="1" applyAlignment="1">
      <alignment horizontal="left" vertical="center" wrapText="1"/>
    </xf>
    <xf numFmtId="176" fontId="14" fillId="3" borderId="1" xfId="0" applyNumberFormat="1" applyFont="1" applyFill="1" applyBorder="1" applyAlignment="1">
      <alignment horizontal="left" vertical="center" wrapText="1"/>
    </xf>
    <xf numFmtId="0" fontId="14" fillId="0" borderId="1" xfId="0" applyFont="1" applyBorder="1" applyAlignment="1">
      <alignment horizontal="left" vertical="center" wrapText="1"/>
    </xf>
    <xf numFmtId="0" fontId="14" fillId="0" borderId="0" xfId="0" applyFont="1" applyAlignment="1" applyProtection="1">
      <alignment horizontal="left" vertical="center"/>
      <protection locked="0"/>
    </xf>
  </cellXfs>
  <cellStyles count="7">
    <cellStyle name="%" xfId="1"/>
    <cellStyle name="%_5月份New" xfId="4"/>
    <cellStyle name="一般" xfId="0" builtinId="0"/>
    <cellStyle name="一般 2" xfId="3"/>
    <cellStyle name="一般 3" xfId="5"/>
    <cellStyle name="一般 5" xfId="6"/>
    <cellStyle name="千分位 2" xfId="2"/>
  </cellStyles>
  <dxfs count="0"/>
  <tableStyles count="0" defaultTableStyle="TableStyleMedium2" defaultPivotStyle="PivotStyleLight16"/>
  <colors>
    <mruColors>
      <color rgb="FF07D72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pageSetUpPr fitToPage="1"/>
  </sheetPr>
  <dimension ref="A1:F40"/>
  <sheetViews>
    <sheetView tabSelected="1" zoomScale="70" zoomScaleNormal="70" zoomScaleSheetLayoutView="85" workbookViewId="0">
      <pane ySplit="2" topLeftCell="A33" activePane="bottomLeft" state="frozen"/>
      <selection pane="bottomLeft" activeCell="D45" sqref="D45"/>
    </sheetView>
  </sheetViews>
  <sheetFormatPr defaultRowHeight="25.5" x14ac:dyDescent="0.25"/>
  <cols>
    <col min="1" max="1" width="33.875" style="12" customWidth="1"/>
    <col min="2" max="2" width="23.625" style="7" customWidth="1"/>
    <col min="3" max="3" width="25.375" style="25" customWidth="1"/>
    <col min="4" max="4" width="70.75" style="28" customWidth="1"/>
    <col min="5" max="5" width="23" style="9" customWidth="1"/>
    <col min="6" max="6" width="9.5" style="15" bestFit="1" customWidth="1"/>
    <col min="7" max="16384" width="9" style="1"/>
  </cols>
  <sheetData>
    <row r="1" spans="1:6" s="2" customFormat="1" ht="53.25" customHeight="1" thickBot="1" x14ac:dyDescent="0.3">
      <c r="A1" s="17" t="s">
        <v>131</v>
      </c>
      <c r="B1" s="17"/>
      <c r="C1" s="17"/>
      <c r="D1" s="17"/>
      <c r="E1" s="10"/>
      <c r="F1" s="13"/>
    </row>
    <row r="2" spans="1:6" s="6" customFormat="1" ht="65.25" customHeight="1" thickBot="1" x14ac:dyDescent="0.3">
      <c r="A2" s="22" t="s">
        <v>129</v>
      </c>
      <c r="B2" s="19" t="s">
        <v>126</v>
      </c>
      <c r="C2" s="21" t="s">
        <v>130</v>
      </c>
      <c r="D2" s="26" t="s">
        <v>128</v>
      </c>
      <c r="E2" s="20" t="s">
        <v>127</v>
      </c>
      <c r="F2" s="14"/>
    </row>
    <row r="3" spans="1:6" ht="26.1" customHeight="1" x14ac:dyDescent="0.25">
      <c r="A3" s="16" t="s">
        <v>17</v>
      </c>
      <c r="B3" s="5" t="str">
        <f>TEXT(LEFT(A3,3),"000000")</f>
        <v>蘇韵寗</v>
      </c>
      <c r="C3" s="16"/>
      <c r="D3" s="27"/>
      <c r="E3" s="8"/>
    </row>
    <row r="4" spans="1:6" ht="26.1" customHeight="1" x14ac:dyDescent="0.25">
      <c r="A4" s="11" t="s">
        <v>84</v>
      </c>
      <c r="B4" s="5" t="str">
        <f t="shared" ref="B4:B40" si="0">TEXT(LEFT(A4,3),"000000")</f>
        <v>張簡王</v>
      </c>
      <c r="C4" s="23"/>
      <c r="D4" s="27"/>
      <c r="E4" s="8"/>
    </row>
    <row r="5" spans="1:6" ht="26.1" customHeight="1" x14ac:dyDescent="0.25">
      <c r="A5" s="11" t="s">
        <v>85</v>
      </c>
      <c r="B5" s="5" t="str">
        <f t="shared" si="0"/>
        <v>譚潘枝</v>
      </c>
      <c r="C5" s="23"/>
      <c r="D5" s="27"/>
      <c r="E5" s="8"/>
    </row>
    <row r="6" spans="1:6" ht="26.1" customHeight="1" x14ac:dyDescent="0.25">
      <c r="A6" s="11" t="s">
        <v>86</v>
      </c>
      <c r="B6" s="5" t="str">
        <f t="shared" si="0"/>
        <v>朱杏</v>
      </c>
      <c r="C6" s="23"/>
      <c r="D6" s="27"/>
      <c r="E6" s="8"/>
    </row>
    <row r="7" spans="1:6" ht="26.1" customHeight="1" x14ac:dyDescent="0.25">
      <c r="A7" s="11" t="s">
        <v>87</v>
      </c>
      <c r="B7" s="5" t="str">
        <f t="shared" si="0"/>
        <v>鄭陳淑</v>
      </c>
      <c r="C7" s="23"/>
      <c r="D7" s="27"/>
      <c r="E7" s="8"/>
    </row>
    <row r="8" spans="1:6" ht="26.1" customHeight="1" x14ac:dyDescent="0.25">
      <c r="A8" s="11" t="s">
        <v>88</v>
      </c>
      <c r="B8" s="5" t="str">
        <f t="shared" si="0"/>
        <v xml:space="preserve">董絲 </v>
      </c>
      <c r="C8" s="23"/>
      <c r="D8" s="27"/>
      <c r="E8" s="8"/>
    </row>
    <row r="9" spans="1:6" ht="26.1" customHeight="1" x14ac:dyDescent="0.25">
      <c r="A9" s="11" t="s">
        <v>3</v>
      </c>
      <c r="B9" s="5" t="str">
        <f t="shared" si="0"/>
        <v>黃美雪</v>
      </c>
      <c r="C9" s="23"/>
      <c r="D9" s="27"/>
      <c r="E9" s="8"/>
    </row>
    <row r="10" spans="1:6" ht="26.1" customHeight="1" x14ac:dyDescent="0.25">
      <c r="A10" s="11" t="s">
        <v>90</v>
      </c>
      <c r="B10" s="5" t="str">
        <f t="shared" si="0"/>
        <v>陳董泥</v>
      </c>
      <c r="C10" s="23"/>
      <c r="D10" s="27"/>
      <c r="E10" s="8"/>
    </row>
    <row r="11" spans="1:6" ht="26.1" customHeight="1" x14ac:dyDescent="0.25">
      <c r="A11" s="11" t="s">
        <v>124</v>
      </c>
      <c r="B11" s="5" t="str">
        <f t="shared" si="0"/>
        <v>施宣輝</v>
      </c>
      <c r="C11" s="23"/>
      <c r="D11" s="27"/>
      <c r="E11" s="8"/>
    </row>
    <row r="12" spans="1:6" ht="26.1" customHeight="1" x14ac:dyDescent="0.25">
      <c r="A12" s="11" t="s">
        <v>91</v>
      </c>
      <c r="B12" s="5" t="str">
        <f t="shared" si="0"/>
        <v>施陳慧</v>
      </c>
      <c r="C12" s="23"/>
      <c r="D12" s="27"/>
      <c r="E12" s="8"/>
    </row>
    <row r="13" spans="1:6" ht="26.1" customHeight="1" x14ac:dyDescent="0.25">
      <c r="A13" s="11" t="s">
        <v>89</v>
      </c>
      <c r="B13" s="5" t="str">
        <f t="shared" si="0"/>
        <v>葉廖素</v>
      </c>
      <c r="C13" s="23"/>
      <c r="D13" s="27"/>
      <c r="E13" s="8"/>
    </row>
    <row r="14" spans="1:6" ht="26.1" customHeight="1" x14ac:dyDescent="0.25">
      <c r="A14" s="11" t="s">
        <v>93</v>
      </c>
      <c r="B14" s="5" t="str">
        <f t="shared" si="0"/>
        <v>廖素綿</v>
      </c>
      <c r="C14" s="23"/>
      <c r="D14" s="27"/>
      <c r="E14" s="8"/>
    </row>
    <row r="15" spans="1:6" ht="26.1" customHeight="1" x14ac:dyDescent="0.25">
      <c r="A15" s="11" t="s">
        <v>94</v>
      </c>
      <c r="B15" s="5" t="str">
        <f t="shared" si="0"/>
        <v>鍾桂卿</v>
      </c>
      <c r="C15" s="23"/>
      <c r="D15" s="27"/>
      <c r="E15" s="8"/>
    </row>
    <row r="16" spans="1:6" ht="26.1" customHeight="1" x14ac:dyDescent="0.25">
      <c r="A16" s="11" t="s">
        <v>92</v>
      </c>
      <c r="B16" s="5" t="str">
        <f t="shared" si="0"/>
        <v>張簡文</v>
      </c>
      <c r="C16" s="23"/>
      <c r="D16" s="27"/>
      <c r="E16" s="8"/>
    </row>
    <row r="17" spans="1:5" ht="26.1" customHeight="1" x14ac:dyDescent="0.25">
      <c r="A17" s="11" t="s">
        <v>4</v>
      </c>
      <c r="B17" s="5" t="str">
        <f t="shared" si="0"/>
        <v>張簡生</v>
      </c>
      <c r="C17" s="23"/>
      <c r="D17" s="27"/>
      <c r="E17" s="8"/>
    </row>
    <row r="18" spans="1:5" ht="26.1" customHeight="1" x14ac:dyDescent="0.25">
      <c r="A18" s="11" t="s">
        <v>83</v>
      </c>
      <c r="B18" s="5" t="str">
        <f t="shared" si="0"/>
        <v>蔡賜珉</v>
      </c>
      <c r="C18" s="23"/>
      <c r="D18" s="27"/>
      <c r="E18" s="8"/>
    </row>
    <row r="19" spans="1:5" ht="26.1" customHeight="1" x14ac:dyDescent="0.25">
      <c r="A19" s="11" t="s">
        <v>62</v>
      </c>
      <c r="B19" s="5" t="str">
        <f t="shared" si="0"/>
        <v>高竹誼</v>
      </c>
      <c r="C19" s="23"/>
      <c r="D19" s="27"/>
      <c r="E19" s="8"/>
    </row>
    <row r="20" spans="1:5" ht="26.1" customHeight="1" x14ac:dyDescent="0.25">
      <c r="A20" s="11" t="s">
        <v>63</v>
      </c>
      <c r="B20" s="5" t="str">
        <f t="shared" si="0"/>
        <v>張建凱</v>
      </c>
      <c r="C20" s="23"/>
      <c r="D20" s="27"/>
      <c r="E20" s="8"/>
    </row>
    <row r="21" spans="1:5" ht="26.1" customHeight="1" x14ac:dyDescent="0.25">
      <c r="A21" s="11" t="s">
        <v>68</v>
      </c>
      <c r="B21" s="5" t="str">
        <f t="shared" si="0"/>
        <v>盧冠宇</v>
      </c>
      <c r="C21" s="23"/>
      <c r="D21" s="27"/>
      <c r="E21" s="8"/>
    </row>
    <row r="22" spans="1:5" ht="26.1" customHeight="1" x14ac:dyDescent="0.25">
      <c r="A22" s="11" t="s">
        <v>69</v>
      </c>
      <c r="B22" s="5" t="str">
        <f t="shared" si="0"/>
        <v>林政余</v>
      </c>
      <c r="C22" s="23"/>
      <c r="D22" s="27"/>
      <c r="E22" s="8"/>
    </row>
    <row r="23" spans="1:5" ht="26.1" customHeight="1" x14ac:dyDescent="0.25">
      <c r="A23" s="11" t="s">
        <v>70</v>
      </c>
      <c r="B23" s="5" t="str">
        <f t="shared" si="0"/>
        <v>芳于臻</v>
      </c>
      <c r="C23" s="23"/>
      <c r="D23" s="27"/>
      <c r="E23" s="8"/>
    </row>
    <row r="24" spans="1:5" ht="26.1" customHeight="1" x14ac:dyDescent="0.25">
      <c r="A24" s="11" t="s">
        <v>71</v>
      </c>
      <c r="B24" s="5" t="str">
        <f t="shared" si="0"/>
        <v>洪翊庭</v>
      </c>
      <c r="C24" s="23"/>
      <c r="D24" s="27"/>
      <c r="E24" s="8"/>
    </row>
    <row r="25" spans="1:5" ht="26.1" customHeight="1" x14ac:dyDescent="0.25">
      <c r="A25" s="11" t="s">
        <v>55</v>
      </c>
      <c r="B25" s="5" t="str">
        <f t="shared" si="0"/>
        <v>許冠文</v>
      </c>
      <c r="C25" s="23"/>
      <c r="D25" s="27"/>
      <c r="E25" s="8"/>
    </row>
    <row r="26" spans="1:5" ht="26.1" customHeight="1" x14ac:dyDescent="0.25">
      <c r="A26" s="11" t="s">
        <v>56</v>
      </c>
      <c r="B26" s="5" t="str">
        <f t="shared" si="0"/>
        <v>馬琳茵</v>
      </c>
      <c r="C26" s="23"/>
      <c r="D26" s="27"/>
      <c r="E26" s="8"/>
    </row>
    <row r="27" spans="1:5" ht="26.1" customHeight="1" x14ac:dyDescent="0.25">
      <c r="A27" s="11" t="s">
        <v>57</v>
      </c>
      <c r="B27" s="5" t="str">
        <f t="shared" si="0"/>
        <v>黃泰盛</v>
      </c>
      <c r="C27" s="23"/>
      <c r="D27" s="27"/>
      <c r="E27" s="8"/>
    </row>
    <row r="28" spans="1:5" ht="26.1" customHeight="1" x14ac:dyDescent="0.25">
      <c r="A28" s="11" t="s">
        <v>58</v>
      </c>
      <c r="B28" s="5" t="str">
        <f t="shared" si="0"/>
        <v>呂佳勳</v>
      </c>
      <c r="C28" s="23"/>
      <c r="D28" s="27"/>
      <c r="E28" s="8"/>
    </row>
    <row r="29" spans="1:5" ht="26.1" customHeight="1" x14ac:dyDescent="0.25">
      <c r="A29" s="11" t="s">
        <v>59</v>
      </c>
      <c r="B29" s="5" t="str">
        <f t="shared" si="0"/>
        <v>楊哲維</v>
      </c>
      <c r="C29" s="23"/>
      <c r="D29" s="27"/>
      <c r="E29" s="8"/>
    </row>
    <row r="30" spans="1:5" ht="26.1" customHeight="1" x14ac:dyDescent="0.25">
      <c r="A30" s="11" t="s">
        <v>60</v>
      </c>
      <c r="B30" s="5" t="str">
        <f t="shared" si="0"/>
        <v>方于臻</v>
      </c>
      <c r="C30" s="23"/>
      <c r="D30" s="27"/>
      <c r="E30" s="8"/>
    </row>
    <row r="31" spans="1:5" ht="26.1" customHeight="1" x14ac:dyDescent="0.25">
      <c r="A31" s="11" t="s">
        <v>61</v>
      </c>
      <c r="B31" s="5" t="str">
        <f t="shared" si="0"/>
        <v>趙維璇</v>
      </c>
      <c r="C31" s="23"/>
      <c r="D31" s="27"/>
      <c r="E31" s="8"/>
    </row>
    <row r="32" spans="1:5" ht="26.1" customHeight="1" x14ac:dyDescent="0.25">
      <c r="A32" s="11" t="s">
        <v>64</v>
      </c>
      <c r="B32" s="5" t="str">
        <f t="shared" si="0"/>
        <v>黃詩婷</v>
      </c>
      <c r="C32" s="23"/>
      <c r="D32" s="27"/>
      <c r="E32" s="8"/>
    </row>
    <row r="33" spans="1:5" ht="26.1" customHeight="1" x14ac:dyDescent="0.25">
      <c r="A33" s="11" t="s">
        <v>65</v>
      </c>
      <c r="B33" s="5" t="str">
        <f t="shared" si="0"/>
        <v>焦心薇</v>
      </c>
      <c r="C33" s="23"/>
      <c r="D33" s="27"/>
      <c r="E33" s="8"/>
    </row>
    <row r="34" spans="1:5" ht="26.1" customHeight="1" x14ac:dyDescent="0.25">
      <c r="A34" s="11" t="s">
        <v>24</v>
      </c>
      <c r="B34" s="5" t="str">
        <f t="shared" si="0"/>
        <v>吳惠雯</v>
      </c>
      <c r="C34" s="23"/>
      <c r="D34" s="27"/>
      <c r="E34" s="8"/>
    </row>
    <row r="35" spans="1:5" ht="26.1" customHeight="1" x14ac:dyDescent="0.25">
      <c r="A35" s="11" t="s">
        <v>25</v>
      </c>
      <c r="B35" s="5" t="str">
        <f t="shared" si="0"/>
        <v>賴怡旨</v>
      </c>
      <c r="C35" s="23"/>
      <c r="D35" s="27"/>
      <c r="E35" s="8"/>
    </row>
    <row r="36" spans="1:5" ht="26.1" customHeight="1" x14ac:dyDescent="0.25">
      <c r="A36" s="11" t="s">
        <v>26</v>
      </c>
      <c r="B36" s="5" t="str">
        <f t="shared" si="0"/>
        <v>王存致</v>
      </c>
      <c r="C36" s="23"/>
      <c r="D36" s="27"/>
      <c r="E36" s="8"/>
    </row>
    <row r="37" spans="1:5" ht="26.1" customHeight="1" x14ac:dyDescent="0.25">
      <c r="A37" s="11" t="s">
        <v>27</v>
      </c>
      <c r="B37" s="5" t="str">
        <f t="shared" si="0"/>
        <v>林志勳</v>
      </c>
      <c r="C37" s="23"/>
      <c r="D37" s="27"/>
      <c r="E37" s="8"/>
    </row>
    <row r="38" spans="1:5" ht="26.1" customHeight="1" x14ac:dyDescent="0.25">
      <c r="A38" s="11" t="s">
        <v>28</v>
      </c>
      <c r="B38" s="5" t="str">
        <f t="shared" si="0"/>
        <v>何杏華</v>
      </c>
      <c r="C38" s="23"/>
      <c r="D38" s="27"/>
      <c r="E38" s="8"/>
    </row>
    <row r="39" spans="1:5" ht="26.1" customHeight="1" x14ac:dyDescent="0.25">
      <c r="A39" s="11" t="s">
        <v>29</v>
      </c>
      <c r="B39" s="5" t="str">
        <f t="shared" si="0"/>
        <v>林謙德</v>
      </c>
      <c r="C39" s="23"/>
      <c r="D39" s="27"/>
      <c r="E39" s="8"/>
    </row>
    <row r="40" spans="1:5" ht="26.1" customHeight="1" x14ac:dyDescent="0.25">
      <c r="A40" s="11" t="s">
        <v>30</v>
      </c>
      <c r="B40" s="5" t="str">
        <f t="shared" si="0"/>
        <v>秦茂原</v>
      </c>
      <c r="C40" s="23"/>
      <c r="D40" s="27"/>
      <c r="E40" s="8"/>
    </row>
  </sheetData>
  <sheetProtection formatCells="0" formatColumns="0" formatRows="0" insertColumns="0" insertRows="0" insertHyperlinks="0" deleteColumns="0" deleteRows="0" selectLockedCells="1" sort="0" autoFilter="0" pivotTables="0"/>
  <autoFilter ref="A2:F2">
    <sortState ref="A3:G5002">
      <sortCondition descending="1" ref="C2"/>
    </sortState>
  </autoFilter>
  <sortState ref="A3:F361">
    <sortCondition ref="D3:D361"/>
  </sortState>
  <mergeCells count="1">
    <mergeCell ref="A1:D1"/>
  </mergeCells>
  <phoneticPr fontId="1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54" fitToHeight="0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C101"/>
  <sheetViews>
    <sheetView zoomScale="80" zoomScaleNormal="80" zoomScaleSheetLayoutView="75" workbookViewId="0">
      <pane ySplit="2" topLeftCell="A72" activePane="bottomLeft" state="frozenSplit"/>
      <selection activeCell="A49" sqref="A49"/>
      <selection pane="bottomLeft" activeCell="C10" sqref="C10"/>
    </sheetView>
  </sheetViews>
  <sheetFormatPr defaultRowHeight="24" x14ac:dyDescent="0.25"/>
  <cols>
    <col min="1" max="1" width="38.75" style="34" customWidth="1"/>
    <col min="2" max="2" width="24.25" style="3" customWidth="1"/>
    <col min="3" max="3" width="63.125" style="41" customWidth="1"/>
    <col min="4" max="16384" width="9" style="1"/>
  </cols>
  <sheetData>
    <row r="1" spans="1:3" s="2" customFormat="1" ht="48.75" customHeight="1" x14ac:dyDescent="0.25">
      <c r="A1" s="18" t="s">
        <v>132</v>
      </c>
      <c r="B1" s="18"/>
      <c r="C1" s="18"/>
    </row>
    <row r="2" spans="1:3" ht="60" customHeight="1" x14ac:dyDescent="0.25">
      <c r="A2" s="29" t="s">
        <v>125</v>
      </c>
      <c r="B2" s="4" t="s">
        <v>126</v>
      </c>
      <c r="C2" s="35" t="s">
        <v>133</v>
      </c>
    </row>
    <row r="3" spans="1:3" x14ac:dyDescent="0.25">
      <c r="A3" s="30" t="s">
        <v>2</v>
      </c>
      <c r="B3" s="5" t="str">
        <f t="shared" ref="B3:B34" si="0">TEXT(LEFT(A3,3),"000000")</f>
        <v>黃冠智</v>
      </c>
      <c r="C3" s="30" t="s">
        <v>118</v>
      </c>
    </row>
    <row r="4" spans="1:3" x14ac:dyDescent="0.25">
      <c r="A4" s="31" t="s">
        <v>2</v>
      </c>
      <c r="B4" s="5" t="str">
        <f t="shared" si="0"/>
        <v>黃冠智</v>
      </c>
      <c r="C4" s="37" t="s">
        <v>118</v>
      </c>
    </row>
    <row r="5" spans="1:3" x14ac:dyDescent="0.25">
      <c r="A5" s="31" t="s">
        <v>14</v>
      </c>
      <c r="B5" s="5" t="str">
        <f t="shared" si="0"/>
        <v>李承翰</v>
      </c>
      <c r="C5" s="37" t="s">
        <v>119</v>
      </c>
    </row>
    <row r="6" spans="1:3" x14ac:dyDescent="0.25">
      <c r="A6" s="31" t="s">
        <v>14</v>
      </c>
      <c r="B6" s="5" t="str">
        <f t="shared" si="0"/>
        <v>李承翰</v>
      </c>
      <c r="C6" s="36" t="s">
        <v>119</v>
      </c>
    </row>
    <row r="7" spans="1:3" x14ac:dyDescent="0.25">
      <c r="A7" s="31" t="s">
        <v>20</v>
      </c>
      <c r="B7" s="5" t="str">
        <f t="shared" si="0"/>
        <v>李俊德</v>
      </c>
      <c r="C7" s="36" t="s">
        <v>120</v>
      </c>
    </row>
    <row r="8" spans="1:3" x14ac:dyDescent="0.25">
      <c r="A8" s="31" t="s">
        <v>13</v>
      </c>
      <c r="B8" s="5" t="str">
        <f t="shared" si="0"/>
        <v>胡家豪</v>
      </c>
      <c r="C8" s="37" t="s">
        <v>121</v>
      </c>
    </row>
    <row r="9" spans="1:3" x14ac:dyDescent="0.25">
      <c r="A9" s="31" t="s">
        <v>19</v>
      </c>
      <c r="B9" s="5" t="str">
        <f t="shared" si="0"/>
        <v>胡家豪</v>
      </c>
      <c r="C9" s="36" t="s">
        <v>121</v>
      </c>
    </row>
    <row r="10" spans="1:3" x14ac:dyDescent="0.25">
      <c r="A10" s="31" t="s">
        <v>1</v>
      </c>
      <c r="B10" s="5" t="str">
        <f t="shared" si="0"/>
        <v>黃偉豪</v>
      </c>
      <c r="C10" s="37" t="s">
        <v>122</v>
      </c>
    </row>
    <row r="11" spans="1:3" x14ac:dyDescent="0.25">
      <c r="A11" s="31" t="s">
        <v>1</v>
      </c>
      <c r="B11" s="5" t="str">
        <f t="shared" si="0"/>
        <v>黃偉豪</v>
      </c>
      <c r="C11" s="37" t="s">
        <v>122</v>
      </c>
    </row>
    <row r="12" spans="1:3" x14ac:dyDescent="0.25">
      <c r="A12" s="31" t="s">
        <v>8</v>
      </c>
      <c r="B12" s="5" t="str">
        <f t="shared" si="0"/>
        <v>陳柏翰</v>
      </c>
      <c r="C12" s="37" t="s">
        <v>123</v>
      </c>
    </row>
    <row r="13" spans="1:3" x14ac:dyDescent="0.25">
      <c r="A13" s="31" t="s">
        <v>0</v>
      </c>
      <c r="B13" s="5" t="str">
        <f t="shared" si="0"/>
        <v>陳柏翰</v>
      </c>
      <c r="C13" s="37" t="s">
        <v>123</v>
      </c>
    </row>
    <row r="14" spans="1:3" x14ac:dyDescent="0.25">
      <c r="A14" s="31" t="s">
        <v>18</v>
      </c>
      <c r="B14" s="5" t="str">
        <f t="shared" si="0"/>
        <v>張修齊</v>
      </c>
      <c r="C14" s="37" t="s">
        <v>114</v>
      </c>
    </row>
    <row r="15" spans="1:3" x14ac:dyDescent="0.25">
      <c r="A15" s="31" t="s">
        <v>15</v>
      </c>
      <c r="B15" s="5" t="str">
        <f t="shared" si="0"/>
        <v>凃亞嵐</v>
      </c>
      <c r="C15" s="36" t="s">
        <v>115</v>
      </c>
    </row>
    <row r="16" spans="1:3" x14ac:dyDescent="0.25">
      <c r="A16" s="31" t="s">
        <v>12</v>
      </c>
      <c r="B16" s="5" t="str">
        <f t="shared" si="0"/>
        <v>黃潮峯</v>
      </c>
      <c r="C16" s="36" t="s">
        <v>116</v>
      </c>
    </row>
    <row r="17" spans="1:3" x14ac:dyDescent="0.25">
      <c r="A17" s="31" t="s">
        <v>17</v>
      </c>
      <c r="B17" s="5" t="str">
        <f t="shared" si="0"/>
        <v>蘇韵寗</v>
      </c>
      <c r="C17" s="36" t="s">
        <v>117</v>
      </c>
    </row>
    <row r="18" spans="1:3" x14ac:dyDescent="0.25">
      <c r="A18" s="31" t="s">
        <v>7</v>
      </c>
      <c r="B18" s="5" t="str">
        <f t="shared" si="0"/>
        <v>謝明翰</v>
      </c>
      <c r="C18" s="37" t="s">
        <v>95</v>
      </c>
    </row>
    <row r="19" spans="1:3" x14ac:dyDescent="0.25">
      <c r="A19" s="31" t="s">
        <v>9</v>
      </c>
      <c r="B19" s="5" t="str">
        <f t="shared" si="0"/>
        <v>蘇麗君</v>
      </c>
      <c r="C19" s="36" t="s">
        <v>95</v>
      </c>
    </row>
    <row r="20" spans="1:3" x14ac:dyDescent="0.25">
      <c r="A20" s="31" t="s">
        <v>10</v>
      </c>
      <c r="B20" s="5" t="str">
        <f t="shared" si="0"/>
        <v>蔡雅梅</v>
      </c>
      <c r="C20" s="36" t="s">
        <v>95</v>
      </c>
    </row>
    <row r="21" spans="1:3" x14ac:dyDescent="0.25">
      <c r="A21" s="31" t="s">
        <v>11</v>
      </c>
      <c r="B21" s="5" t="str">
        <f t="shared" si="0"/>
        <v>潘毅澤</v>
      </c>
      <c r="C21" s="37" t="s">
        <v>95</v>
      </c>
    </row>
    <row r="22" spans="1:3" x14ac:dyDescent="0.25">
      <c r="A22" s="31" t="s">
        <v>16</v>
      </c>
      <c r="B22" s="5" t="str">
        <f t="shared" si="0"/>
        <v>陳益樹</v>
      </c>
      <c r="C22" s="37" t="s">
        <v>95</v>
      </c>
    </row>
    <row r="23" spans="1:3" x14ac:dyDescent="0.25">
      <c r="A23" s="31" t="s">
        <v>21</v>
      </c>
      <c r="B23" s="5" t="str">
        <f t="shared" si="0"/>
        <v>鄭評鴻</v>
      </c>
      <c r="C23" s="36" t="s">
        <v>95</v>
      </c>
    </row>
    <row r="24" spans="1:3" x14ac:dyDescent="0.25">
      <c r="A24" s="31" t="s">
        <v>84</v>
      </c>
      <c r="B24" s="5" t="str">
        <f t="shared" si="0"/>
        <v>張簡王</v>
      </c>
      <c r="C24" s="36" t="s">
        <v>109</v>
      </c>
    </row>
    <row r="25" spans="1:3" x14ac:dyDescent="0.25">
      <c r="A25" s="31" t="s">
        <v>85</v>
      </c>
      <c r="B25" s="5" t="str">
        <f t="shared" si="0"/>
        <v>譚潘枝</v>
      </c>
      <c r="C25" s="37" t="s">
        <v>109</v>
      </c>
    </row>
    <row r="26" spans="1:3" x14ac:dyDescent="0.25">
      <c r="A26" s="31" t="s">
        <v>86</v>
      </c>
      <c r="B26" s="5" t="str">
        <f t="shared" si="0"/>
        <v>朱杏</v>
      </c>
      <c r="C26" s="37" t="s">
        <v>109</v>
      </c>
    </row>
    <row r="27" spans="1:3" x14ac:dyDescent="0.25">
      <c r="A27" s="31" t="s">
        <v>87</v>
      </c>
      <c r="B27" s="5" t="str">
        <f t="shared" si="0"/>
        <v>鄭陳淑</v>
      </c>
      <c r="C27" s="37" t="s">
        <v>109</v>
      </c>
    </row>
    <row r="28" spans="1:3" x14ac:dyDescent="0.25">
      <c r="A28" s="31" t="s">
        <v>88</v>
      </c>
      <c r="B28" s="5" t="str">
        <f t="shared" si="0"/>
        <v xml:space="preserve">董絲 </v>
      </c>
      <c r="C28" s="36" t="s">
        <v>109</v>
      </c>
    </row>
    <row r="29" spans="1:3" x14ac:dyDescent="0.25">
      <c r="A29" s="31" t="s">
        <v>3</v>
      </c>
      <c r="B29" s="5" t="str">
        <f t="shared" si="0"/>
        <v>黃美雪</v>
      </c>
      <c r="C29" s="37" t="s">
        <v>109</v>
      </c>
    </row>
    <row r="30" spans="1:3" x14ac:dyDescent="0.25">
      <c r="A30" s="31" t="s">
        <v>90</v>
      </c>
      <c r="B30" s="5" t="str">
        <f t="shared" si="0"/>
        <v>陳董泥</v>
      </c>
      <c r="C30" s="37" t="s">
        <v>109</v>
      </c>
    </row>
    <row r="31" spans="1:3" x14ac:dyDescent="0.25">
      <c r="A31" s="31" t="s">
        <v>124</v>
      </c>
      <c r="B31" s="5" t="str">
        <f t="shared" si="0"/>
        <v>施宣輝</v>
      </c>
      <c r="C31" s="36" t="s">
        <v>109</v>
      </c>
    </row>
    <row r="32" spans="1:3" x14ac:dyDescent="0.25">
      <c r="A32" s="31" t="s">
        <v>91</v>
      </c>
      <c r="B32" s="5" t="str">
        <f t="shared" si="0"/>
        <v>施陳慧</v>
      </c>
      <c r="C32" s="36" t="s">
        <v>109</v>
      </c>
    </row>
    <row r="33" spans="1:3" x14ac:dyDescent="0.25">
      <c r="A33" s="31" t="s">
        <v>89</v>
      </c>
      <c r="B33" s="5" t="str">
        <f t="shared" si="0"/>
        <v>葉廖素</v>
      </c>
      <c r="C33" s="36" t="s">
        <v>110</v>
      </c>
    </row>
    <row r="34" spans="1:3" x14ac:dyDescent="0.25">
      <c r="A34" s="31" t="s">
        <v>93</v>
      </c>
      <c r="B34" s="5" t="str">
        <f t="shared" si="0"/>
        <v>廖素綿</v>
      </c>
      <c r="C34" s="37" t="s">
        <v>110</v>
      </c>
    </row>
    <row r="35" spans="1:3" x14ac:dyDescent="0.25">
      <c r="A35" s="31" t="s">
        <v>94</v>
      </c>
      <c r="B35" s="5" t="str">
        <f t="shared" ref="B35:B66" si="1">TEXT(LEFT(A35,3),"000000")</f>
        <v>鍾桂卿</v>
      </c>
      <c r="C35" s="36" t="s">
        <v>113</v>
      </c>
    </row>
    <row r="36" spans="1:3" x14ac:dyDescent="0.25">
      <c r="A36" s="31" t="s">
        <v>92</v>
      </c>
      <c r="B36" s="5" t="str">
        <f t="shared" si="1"/>
        <v>張簡文</v>
      </c>
      <c r="C36" s="37" t="s">
        <v>111</v>
      </c>
    </row>
    <row r="37" spans="1:3" x14ac:dyDescent="0.25">
      <c r="A37" s="31" t="s">
        <v>4</v>
      </c>
      <c r="B37" s="5" t="str">
        <f t="shared" si="1"/>
        <v>張簡生</v>
      </c>
      <c r="C37" s="37" t="s">
        <v>111</v>
      </c>
    </row>
    <row r="38" spans="1:3" x14ac:dyDescent="0.25">
      <c r="A38" s="31" t="s">
        <v>83</v>
      </c>
      <c r="B38" s="5" t="str">
        <f t="shared" si="1"/>
        <v>蔡賜珉</v>
      </c>
      <c r="C38" s="37" t="s">
        <v>108</v>
      </c>
    </row>
    <row r="39" spans="1:3" x14ac:dyDescent="0.25">
      <c r="A39" s="31" t="s">
        <v>62</v>
      </c>
      <c r="B39" s="5" t="str">
        <f t="shared" si="1"/>
        <v>高竹誼</v>
      </c>
      <c r="C39" s="37" t="s">
        <v>101</v>
      </c>
    </row>
    <row r="40" spans="1:3" x14ac:dyDescent="0.25">
      <c r="A40" s="31" t="s">
        <v>63</v>
      </c>
      <c r="B40" s="5" t="str">
        <f t="shared" si="1"/>
        <v>張建凱</v>
      </c>
      <c r="C40" s="37" t="s">
        <v>101</v>
      </c>
    </row>
    <row r="41" spans="1:3" x14ac:dyDescent="0.25">
      <c r="A41" s="32" t="s">
        <v>68</v>
      </c>
      <c r="B41" s="5" t="str">
        <f t="shared" si="1"/>
        <v>盧冠宇</v>
      </c>
      <c r="C41" s="38" t="s">
        <v>102</v>
      </c>
    </row>
    <row r="42" spans="1:3" x14ac:dyDescent="0.25">
      <c r="A42" s="32" t="s">
        <v>69</v>
      </c>
      <c r="B42" s="5" t="str">
        <f t="shared" si="1"/>
        <v>林政余</v>
      </c>
      <c r="C42" s="38" t="s">
        <v>102</v>
      </c>
    </row>
    <row r="43" spans="1:3" x14ac:dyDescent="0.25">
      <c r="A43" s="32" t="s">
        <v>70</v>
      </c>
      <c r="B43" s="5" t="str">
        <f t="shared" si="1"/>
        <v>芳于臻</v>
      </c>
      <c r="C43" s="38" t="s">
        <v>102</v>
      </c>
    </row>
    <row r="44" spans="1:3" x14ac:dyDescent="0.25">
      <c r="A44" s="32" t="s">
        <v>71</v>
      </c>
      <c r="B44" s="5" t="str">
        <f t="shared" si="1"/>
        <v>洪翊庭</v>
      </c>
      <c r="C44" s="38" t="s">
        <v>102</v>
      </c>
    </row>
    <row r="45" spans="1:3" x14ac:dyDescent="0.25">
      <c r="A45" s="32" t="s">
        <v>55</v>
      </c>
      <c r="B45" s="5" t="str">
        <f t="shared" si="1"/>
        <v>許冠文</v>
      </c>
      <c r="C45" s="38" t="s">
        <v>100</v>
      </c>
    </row>
    <row r="46" spans="1:3" x14ac:dyDescent="0.25">
      <c r="A46" s="32" t="s">
        <v>56</v>
      </c>
      <c r="B46" s="5" t="str">
        <f t="shared" si="1"/>
        <v>馬琳茵</v>
      </c>
      <c r="C46" s="38" t="s">
        <v>100</v>
      </c>
    </row>
    <row r="47" spans="1:3" x14ac:dyDescent="0.25">
      <c r="A47" s="32" t="s">
        <v>57</v>
      </c>
      <c r="B47" s="5" t="str">
        <f t="shared" si="1"/>
        <v>黃泰盛</v>
      </c>
      <c r="C47" s="38" t="s">
        <v>100</v>
      </c>
    </row>
    <row r="48" spans="1:3" x14ac:dyDescent="0.25">
      <c r="A48" s="32" t="s">
        <v>58</v>
      </c>
      <c r="B48" s="5" t="str">
        <f t="shared" si="1"/>
        <v>呂佳勳</v>
      </c>
      <c r="C48" s="38" t="s">
        <v>100</v>
      </c>
    </row>
    <row r="49" spans="1:3" x14ac:dyDescent="0.25">
      <c r="A49" s="32" t="s">
        <v>59</v>
      </c>
      <c r="B49" s="5" t="str">
        <f t="shared" si="1"/>
        <v>楊哲維</v>
      </c>
      <c r="C49" s="38" t="s">
        <v>100</v>
      </c>
    </row>
    <row r="50" spans="1:3" x14ac:dyDescent="0.25">
      <c r="A50" s="32" t="s">
        <v>60</v>
      </c>
      <c r="B50" s="5" t="str">
        <f t="shared" si="1"/>
        <v>方于臻</v>
      </c>
      <c r="C50" s="38" t="s">
        <v>100</v>
      </c>
    </row>
    <row r="51" spans="1:3" ht="24" customHeight="1" x14ac:dyDescent="0.25">
      <c r="A51" s="32" t="s">
        <v>61</v>
      </c>
      <c r="B51" s="5" t="str">
        <f t="shared" si="1"/>
        <v>趙維璇</v>
      </c>
      <c r="C51" s="39" t="s">
        <v>100</v>
      </c>
    </row>
    <row r="52" spans="1:3" ht="24" customHeight="1" x14ac:dyDescent="0.25">
      <c r="A52" s="32" t="s">
        <v>64</v>
      </c>
      <c r="B52" s="5" t="str">
        <f t="shared" si="1"/>
        <v>黃詩婷</v>
      </c>
      <c r="C52" s="39" t="s">
        <v>100</v>
      </c>
    </row>
    <row r="53" spans="1:3" ht="26.25" customHeight="1" x14ac:dyDescent="0.25">
      <c r="A53" s="33" t="s">
        <v>65</v>
      </c>
      <c r="B53" s="5" t="str">
        <f t="shared" si="1"/>
        <v>焦心薇</v>
      </c>
      <c r="C53" s="39" t="s">
        <v>100</v>
      </c>
    </row>
    <row r="54" spans="1:3" ht="26.25" customHeight="1" x14ac:dyDescent="0.25">
      <c r="A54" s="33" t="s">
        <v>24</v>
      </c>
      <c r="B54" s="5" t="str">
        <f t="shared" si="1"/>
        <v>吳惠雯</v>
      </c>
      <c r="C54" s="39" t="s">
        <v>99</v>
      </c>
    </row>
    <row r="55" spans="1:3" ht="26.25" customHeight="1" x14ac:dyDescent="0.25">
      <c r="A55" s="32" t="s">
        <v>25</v>
      </c>
      <c r="B55" s="5" t="str">
        <f t="shared" si="1"/>
        <v>賴怡旨</v>
      </c>
      <c r="C55" s="38" t="s">
        <v>99</v>
      </c>
    </row>
    <row r="56" spans="1:3" ht="26.25" customHeight="1" x14ac:dyDescent="0.25">
      <c r="A56" s="32" t="s">
        <v>26</v>
      </c>
      <c r="B56" s="5" t="str">
        <f t="shared" si="1"/>
        <v>王存致</v>
      </c>
      <c r="C56" s="38" t="s">
        <v>99</v>
      </c>
    </row>
    <row r="57" spans="1:3" ht="26.25" customHeight="1" x14ac:dyDescent="0.25">
      <c r="A57" s="32" t="s">
        <v>27</v>
      </c>
      <c r="B57" s="5" t="str">
        <f t="shared" si="1"/>
        <v>林志勳</v>
      </c>
      <c r="C57" s="38" t="s">
        <v>99</v>
      </c>
    </row>
    <row r="58" spans="1:3" ht="26.25" customHeight="1" x14ac:dyDescent="0.25">
      <c r="A58" s="32" t="s">
        <v>28</v>
      </c>
      <c r="B58" s="5" t="str">
        <f t="shared" si="1"/>
        <v>何杏華</v>
      </c>
      <c r="C58" s="38" t="s">
        <v>99</v>
      </c>
    </row>
    <row r="59" spans="1:3" x14ac:dyDescent="0.25">
      <c r="A59" s="33" t="s">
        <v>29</v>
      </c>
      <c r="B59" s="5" t="str">
        <f t="shared" si="1"/>
        <v>林謙德</v>
      </c>
      <c r="C59" s="39" t="s">
        <v>99</v>
      </c>
    </row>
    <row r="60" spans="1:3" x14ac:dyDescent="0.25">
      <c r="A60" s="33" t="s">
        <v>30</v>
      </c>
      <c r="B60" s="5" t="str">
        <f t="shared" si="1"/>
        <v>秦茂原</v>
      </c>
      <c r="C60" s="39" t="s">
        <v>99</v>
      </c>
    </row>
    <row r="61" spans="1:3" x14ac:dyDescent="0.25">
      <c r="A61" s="33" t="s">
        <v>31</v>
      </c>
      <c r="B61" s="5" t="str">
        <f t="shared" si="1"/>
        <v>詹士瑤</v>
      </c>
      <c r="C61" s="39" t="s">
        <v>99</v>
      </c>
    </row>
    <row r="62" spans="1:3" x14ac:dyDescent="0.25">
      <c r="A62" s="33" t="s">
        <v>32</v>
      </c>
      <c r="B62" s="5" t="str">
        <f t="shared" si="1"/>
        <v>李炯霖</v>
      </c>
      <c r="C62" s="39" t="s">
        <v>99</v>
      </c>
    </row>
    <row r="63" spans="1:3" x14ac:dyDescent="0.25">
      <c r="A63" s="33" t="s">
        <v>33</v>
      </c>
      <c r="B63" s="5" t="str">
        <f t="shared" si="1"/>
        <v>郭庭歡</v>
      </c>
      <c r="C63" s="39" t="s">
        <v>99</v>
      </c>
    </row>
    <row r="64" spans="1:3" x14ac:dyDescent="0.25">
      <c r="A64" s="33" t="s">
        <v>34</v>
      </c>
      <c r="B64" s="5" t="str">
        <f t="shared" si="1"/>
        <v>曾佳弘</v>
      </c>
      <c r="C64" s="39" t="s">
        <v>99</v>
      </c>
    </row>
    <row r="65" spans="1:3" x14ac:dyDescent="0.25">
      <c r="A65" s="33" t="s">
        <v>35</v>
      </c>
      <c r="B65" s="5" t="str">
        <f t="shared" si="1"/>
        <v>李常宏</v>
      </c>
      <c r="C65" s="39" t="s">
        <v>99</v>
      </c>
    </row>
    <row r="66" spans="1:3" x14ac:dyDescent="0.25">
      <c r="A66" s="33" t="s">
        <v>36</v>
      </c>
      <c r="B66" s="5" t="str">
        <f t="shared" si="1"/>
        <v>東宜鴻</v>
      </c>
      <c r="C66" s="39" t="s">
        <v>99</v>
      </c>
    </row>
    <row r="67" spans="1:3" x14ac:dyDescent="0.25">
      <c r="A67" s="33" t="s">
        <v>37</v>
      </c>
      <c r="B67" s="5" t="str">
        <f t="shared" ref="B67:B98" si="2">TEXT(LEFT(A67,3),"000000")</f>
        <v>宋彥陞</v>
      </c>
      <c r="C67" s="39" t="s">
        <v>99</v>
      </c>
    </row>
    <row r="68" spans="1:3" x14ac:dyDescent="0.25">
      <c r="A68" s="33" t="s">
        <v>38</v>
      </c>
      <c r="B68" s="5" t="str">
        <f t="shared" si="2"/>
        <v>江家宏</v>
      </c>
      <c r="C68" s="39" t="s">
        <v>99</v>
      </c>
    </row>
    <row r="69" spans="1:3" x14ac:dyDescent="0.25">
      <c r="A69" s="23" t="s">
        <v>39</v>
      </c>
      <c r="B69" s="5" t="str">
        <f t="shared" si="2"/>
        <v>邱怡禎</v>
      </c>
      <c r="C69" s="24" t="s">
        <v>99</v>
      </c>
    </row>
    <row r="70" spans="1:3" x14ac:dyDescent="0.25">
      <c r="A70" s="23" t="s">
        <v>40</v>
      </c>
      <c r="B70" s="5" t="str">
        <f t="shared" si="2"/>
        <v>孫維駿</v>
      </c>
      <c r="C70" s="40" t="s">
        <v>99</v>
      </c>
    </row>
    <row r="71" spans="1:3" x14ac:dyDescent="0.25">
      <c r="A71" s="23" t="s">
        <v>41</v>
      </c>
      <c r="B71" s="5" t="str">
        <f t="shared" si="2"/>
        <v>王盈予</v>
      </c>
      <c r="C71" s="40" t="s">
        <v>99</v>
      </c>
    </row>
    <row r="72" spans="1:3" x14ac:dyDescent="0.25">
      <c r="A72" s="23" t="s">
        <v>42</v>
      </c>
      <c r="B72" s="5" t="str">
        <f t="shared" si="2"/>
        <v>陳怡君</v>
      </c>
      <c r="C72" s="40" t="s">
        <v>99</v>
      </c>
    </row>
    <row r="73" spans="1:3" x14ac:dyDescent="0.25">
      <c r="A73" s="23" t="s">
        <v>43</v>
      </c>
      <c r="B73" s="5" t="str">
        <f t="shared" si="2"/>
        <v>鍾佳蓉</v>
      </c>
      <c r="C73" s="40" t="s">
        <v>99</v>
      </c>
    </row>
    <row r="74" spans="1:3" x14ac:dyDescent="0.25">
      <c r="A74" s="23" t="s">
        <v>44</v>
      </c>
      <c r="B74" s="5" t="str">
        <f t="shared" si="2"/>
        <v>林庭羽</v>
      </c>
      <c r="C74" s="40" t="s">
        <v>99</v>
      </c>
    </row>
    <row r="75" spans="1:3" x14ac:dyDescent="0.25">
      <c r="A75" s="23" t="s">
        <v>45</v>
      </c>
      <c r="B75" s="5" t="str">
        <f t="shared" si="2"/>
        <v>陳煒喆</v>
      </c>
      <c r="C75" s="40" t="s">
        <v>99</v>
      </c>
    </row>
    <row r="76" spans="1:3" x14ac:dyDescent="0.25">
      <c r="A76" s="23" t="s">
        <v>46</v>
      </c>
      <c r="B76" s="5" t="str">
        <f t="shared" si="2"/>
        <v>彭煜庭</v>
      </c>
      <c r="C76" s="37" t="s">
        <v>99</v>
      </c>
    </row>
    <row r="77" spans="1:3" x14ac:dyDescent="0.25">
      <c r="A77" s="23" t="s">
        <v>47</v>
      </c>
      <c r="B77" s="5" t="str">
        <f t="shared" si="2"/>
        <v>柯瑞鈴</v>
      </c>
      <c r="C77" s="24" t="s">
        <v>99</v>
      </c>
    </row>
    <row r="78" spans="1:3" x14ac:dyDescent="0.25">
      <c r="A78" s="23" t="s">
        <v>48</v>
      </c>
      <c r="B78" s="5" t="str">
        <f t="shared" si="2"/>
        <v>林佑融</v>
      </c>
      <c r="C78" s="24" t="s">
        <v>99</v>
      </c>
    </row>
    <row r="79" spans="1:3" x14ac:dyDescent="0.25">
      <c r="A79" s="23" t="s">
        <v>49</v>
      </c>
      <c r="B79" s="5" t="str">
        <f t="shared" si="2"/>
        <v>高子晴</v>
      </c>
      <c r="C79" s="24" t="s">
        <v>99</v>
      </c>
    </row>
    <row r="80" spans="1:3" x14ac:dyDescent="0.25">
      <c r="A80" s="23" t="s">
        <v>50</v>
      </c>
      <c r="B80" s="5" t="str">
        <f t="shared" si="2"/>
        <v>汪家豪</v>
      </c>
      <c r="C80" s="24" t="s">
        <v>99</v>
      </c>
    </row>
    <row r="81" spans="1:3" x14ac:dyDescent="0.25">
      <c r="A81" s="23" t="s">
        <v>51</v>
      </c>
      <c r="B81" s="5" t="str">
        <f t="shared" si="2"/>
        <v>褚祐貝</v>
      </c>
      <c r="C81" s="24" t="s">
        <v>99</v>
      </c>
    </row>
    <row r="82" spans="1:3" x14ac:dyDescent="0.25">
      <c r="A82" s="23" t="s">
        <v>52</v>
      </c>
      <c r="B82" s="5" t="str">
        <f t="shared" si="2"/>
        <v>史玲綺</v>
      </c>
      <c r="C82" s="24" t="s">
        <v>99</v>
      </c>
    </row>
    <row r="83" spans="1:3" x14ac:dyDescent="0.25">
      <c r="A83" s="23" t="s">
        <v>53</v>
      </c>
      <c r="B83" s="5" t="str">
        <f t="shared" si="2"/>
        <v>蔡青晏</v>
      </c>
      <c r="C83" s="24" t="s">
        <v>99</v>
      </c>
    </row>
    <row r="84" spans="1:3" x14ac:dyDescent="0.25">
      <c r="A84" s="23" t="s">
        <v>54</v>
      </c>
      <c r="B84" s="5" t="str">
        <f t="shared" si="2"/>
        <v>林碧儀</v>
      </c>
      <c r="C84" s="24" t="s">
        <v>99</v>
      </c>
    </row>
    <row r="85" spans="1:3" x14ac:dyDescent="0.25">
      <c r="A85" s="23" t="s">
        <v>66</v>
      </c>
      <c r="B85" s="5" t="str">
        <f t="shared" si="2"/>
        <v>葉恩婕</v>
      </c>
      <c r="C85" s="24" t="s">
        <v>99</v>
      </c>
    </row>
    <row r="86" spans="1:3" x14ac:dyDescent="0.25">
      <c r="A86" s="23" t="s">
        <v>67</v>
      </c>
      <c r="B86" s="5" t="str">
        <f t="shared" si="2"/>
        <v>吳偵宜</v>
      </c>
      <c r="C86" s="24" t="s">
        <v>99</v>
      </c>
    </row>
    <row r="87" spans="1:3" x14ac:dyDescent="0.25">
      <c r="A87" s="23" t="s">
        <v>22</v>
      </c>
      <c r="B87" s="5" t="str">
        <f t="shared" si="2"/>
        <v>黃湞鈺</v>
      </c>
      <c r="C87" s="24" t="s">
        <v>96</v>
      </c>
    </row>
    <row r="88" spans="1:3" x14ac:dyDescent="0.25">
      <c r="A88" s="23" t="s">
        <v>82</v>
      </c>
      <c r="B88" s="5" t="str">
        <f t="shared" si="2"/>
        <v>凃慶昇</v>
      </c>
      <c r="C88" s="24" t="s">
        <v>107</v>
      </c>
    </row>
    <row r="89" spans="1:3" x14ac:dyDescent="0.25">
      <c r="A89" s="23" t="s">
        <v>6</v>
      </c>
      <c r="B89" s="5" t="str">
        <f t="shared" si="2"/>
        <v>許瓈云</v>
      </c>
      <c r="C89" s="24" t="s">
        <v>97</v>
      </c>
    </row>
    <row r="90" spans="1:3" x14ac:dyDescent="0.25">
      <c r="A90" s="23" t="s">
        <v>5</v>
      </c>
      <c r="B90" s="5" t="str">
        <f t="shared" si="2"/>
        <v>黃寀溱</v>
      </c>
      <c r="C90" s="24" t="s">
        <v>112</v>
      </c>
    </row>
    <row r="91" spans="1:3" x14ac:dyDescent="0.25">
      <c r="A91" s="23" t="s">
        <v>23</v>
      </c>
      <c r="B91" s="5" t="str">
        <f t="shared" si="2"/>
        <v>杲宝莉</v>
      </c>
      <c r="C91" s="24" t="s">
        <v>98</v>
      </c>
    </row>
    <row r="92" spans="1:3" x14ac:dyDescent="0.25">
      <c r="A92" s="23" t="s">
        <v>72</v>
      </c>
      <c r="B92" s="5" t="str">
        <f t="shared" si="2"/>
        <v>忠華1</v>
      </c>
      <c r="C92" s="24" t="s">
        <v>103</v>
      </c>
    </row>
    <row r="93" spans="1:3" x14ac:dyDescent="0.25">
      <c r="A93" s="23" t="s">
        <v>73</v>
      </c>
      <c r="B93" s="5" t="str">
        <f t="shared" si="2"/>
        <v>忠華2</v>
      </c>
      <c r="C93" s="24" t="s">
        <v>104</v>
      </c>
    </row>
    <row r="94" spans="1:3" x14ac:dyDescent="0.25">
      <c r="A94" s="23" t="s">
        <v>77</v>
      </c>
      <c r="B94" s="5" t="str">
        <f t="shared" si="2"/>
        <v>忠華6</v>
      </c>
      <c r="C94" s="24" t="s">
        <v>104</v>
      </c>
    </row>
    <row r="95" spans="1:3" x14ac:dyDescent="0.25">
      <c r="A95" s="23" t="s">
        <v>79</v>
      </c>
      <c r="B95" s="5" t="str">
        <f t="shared" si="2"/>
        <v>忠華8</v>
      </c>
      <c r="C95" s="24" t="s">
        <v>104</v>
      </c>
    </row>
    <row r="96" spans="1:3" x14ac:dyDescent="0.25">
      <c r="A96" s="23" t="s">
        <v>80</v>
      </c>
      <c r="B96" s="5" t="str">
        <f t="shared" si="2"/>
        <v>忠華9</v>
      </c>
      <c r="C96" s="24" t="s">
        <v>104</v>
      </c>
    </row>
    <row r="97" spans="1:3" x14ac:dyDescent="0.25">
      <c r="A97" s="23" t="s">
        <v>74</v>
      </c>
      <c r="B97" s="5" t="str">
        <f t="shared" si="2"/>
        <v>忠華3</v>
      </c>
      <c r="C97" s="24" t="s">
        <v>105</v>
      </c>
    </row>
    <row r="98" spans="1:3" x14ac:dyDescent="0.25">
      <c r="A98" s="23" t="s">
        <v>75</v>
      </c>
      <c r="B98" s="5" t="str">
        <f t="shared" si="2"/>
        <v>忠華4</v>
      </c>
      <c r="C98" s="24" t="s">
        <v>105</v>
      </c>
    </row>
    <row r="99" spans="1:3" x14ac:dyDescent="0.25">
      <c r="A99" s="23" t="s">
        <v>78</v>
      </c>
      <c r="B99" s="5" t="str">
        <f t="shared" ref="B99:B130" si="3">TEXT(LEFT(A99,3),"000000")</f>
        <v>忠華7</v>
      </c>
      <c r="C99" s="24" t="s">
        <v>105</v>
      </c>
    </row>
    <row r="100" spans="1:3" x14ac:dyDescent="0.25">
      <c r="A100" s="23" t="s">
        <v>81</v>
      </c>
      <c r="B100" s="5" t="str">
        <f t="shared" si="3"/>
        <v>忠華1</v>
      </c>
      <c r="C100" s="24" t="s">
        <v>105</v>
      </c>
    </row>
    <row r="101" spans="1:3" x14ac:dyDescent="0.25">
      <c r="A101" s="23" t="s">
        <v>76</v>
      </c>
      <c r="B101" s="5" t="str">
        <f t="shared" si="3"/>
        <v>忠華5</v>
      </c>
      <c r="C101" s="24" t="s">
        <v>106</v>
      </c>
    </row>
  </sheetData>
  <sheetProtection formatCells="0" formatColumns="0" formatRows="0" insertColumns="0" insertRows="0" insertHyperlinks="0" deleteColumns="0" deleteRows="0" selectLockedCells="1" sort="0" autoFilter="0" pivotTables="0" selectUnlockedCells="1"/>
  <autoFilter ref="A2:C2"/>
  <mergeCells count="1">
    <mergeCell ref="A1:C1"/>
  </mergeCells>
  <phoneticPr fontId="1" type="noConversion"/>
  <printOptions horizontalCentered="1"/>
  <pageMargins left="0.15748031496062992" right="0.15748031496062992" top="0.19685039370078741" bottom="0.19685039370078741" header="0.51181102362204722" footer="0.51181102362204722"/>
  <pageSetup paperSize="9" scale="68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3</vt:i4>
      </vt:variant>
    </vt:vector>
  </HeadingPairs>
  <TitlesOfParts>
    <vt:vector size="5" baseType="lpstr">
      <vt:lpstr>檢核表</vt:lpstr>
      <vt:lpstr>標準表</vt:lpstr>
      <vt:lpstr>標準表!_FilterDatabase</vt:lpstr>
      <vt:lpstr>標準表!Print_Area</vt:lpstr>
      <vt:lpstr>檢核表!Print_Area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M2--許煇昇</dc:creator>
  <cp:lastModifiedBy>M1-許煇昇</cp:lastModifiedBy>
  <cp:lastPrinted>2019-02-24T23:39:05Z</cp:lastPrinted>
  <dcterms:created xsi:type="dcterms:W3CDTF">1997-01-14T01:50:29Z</dcterms:created>
  <dcterms:modified xsi:type="dcterms:W3CDTF">2019-03-13T23:42:06Z</dcterms:modified>
</cp:coreProperties>
</file>